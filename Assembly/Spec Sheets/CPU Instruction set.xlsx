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s" sheetId="1" state="visible" r:id="rId3"/>
    <sheet name="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<sst xmlns="http://schemas.openxmlformats.org/spreadsheetml/2006/main" count="121" uniqueCount="110">
  <si>
    <t xml:space="preserve">HEX</t>
  </si>
  <si>
    <t xml:space="preserve">NAME</t>
  </si>
  <si>
    <t xml:space="preserve">DESCRIPTION</t>
  </si>
  <si>
    <t xml:space="preserve">ALIAS(ES)</t>
  </si>
  <si>
    <t xml:space="preserve">48 bit per inst.</t>
  </si>
  <si>
    <t xml:space="preserve">ADC</t>
  </si>
  <si>
    <t xml:space="preserve">Adds &lt;tar&gt; to &lt;sel&gt;, outputs to &lt;slc&gt;; carry is outputted to CR</t>
  </si>
  <si>
    <t xml:space="preserve">8 bit loaded at a time</t>
  </si>
  <si>
    <t xml:space="preserve">ADD</t>
  </si>
  <si>
    <t xml:space="preserve">Adds &lt;tar&gt; to &lt;sel&gt;, outputs to &lt;slc&gt;</t>
  </si>
  <si>
    <t xml:space="preserve">SUB</t>
  </si>
  <si>
    <t xml:space="preserve">Subtracts &lt;sel&gt; from &lt;tar&gt;; outputs to &lt;slc&gt;</t>
  </si>
  <si>
    <t xml:space="preserve">SBB</t>
  </si>
  <si>
    <t xml:space="preserve">Subtracts &lt;sel&gt; from &lt;tar&gt;, outputs to &lt;slc&gt;; borrow is outputted to CR</t>
  </si>
  <si>
    <t xml:space="preserve">MLC</t>
  </si>
  <si>
    <t xml:space="preserve">Multiplies &lt;tar&gt; with &lt;sel&gt;, outputs to &lt;slc&gt;; carry is outputted to CR</t>
  </si>
  <si>
    <t xml:space="preserve">MUL</t>
  </si>
  <si>
    <t xml:space="preserve">Multiplies &lt;tar&gt; with &lt;sel&gt;, outputs to &lt;slc&gt;;</t>
  </si>
  <si>
    <t xml:space="preserve">UNA</t>
  </si>
  <si>
    <t xml:space="preserve">Unallocated / No Operation</t>
  </si>
  <si>
    <t xml:space="preserve">NOP</t>
  </si>
  <si>
    <t xml:space="preserve">PUS</t>
  </si>
  <si>
    <t xml:space="preserve">pushes &lt;tar&gt; to the stack</t>
  </si>
  <si>
    <t xml:space="preserve">POP</t>
  </si>
  <si>
    <t xml:space="preserve">pops the stack to &lt;slc&gt;</t>
  </si>
  <si>
    <t xml:space="preserve">BIS</t>
  </si>
  <si>
    <t xml:space="preserve">Branches if BR is 0</t>
  </si>
  <si>
    <t xml:space="preserve">BIU</t>
  </si>
  <si>
    <t xml:space="preserve">Branches if BR is 1</t>
  </si>
  <si>
    <t xml:space="preserve">BIC</t>
  </si>
  <si>
    <t xml:space="preserve">Branches is CR is 1</t>
  </si>
  <si>
    <t xml:space="preserve">BTF</t>
  </si>
  <si>
    <t xml:space="preserve">Branches is CR is 0</t>
  </si>
  <si>
    <t xml:space="preserve">BRA</t>
  </si>
  <si>
    <t xml:space="preserve">Branches to &lt;tar&gt;. Unconditionally.</t>
  </si>
  <si>
    <t xml:space="preserve">AND</t>
  </si>
  <si>
    <t xml:space="preserve">AND &lt;tar&gt; and &lt;sel&gt;, and output to &lt;slc&gt;</t>
  </si>
  <si>
    <t xml:space="preserve">NOT</t>
  </si>
  <si>
    <t xml:space="preserve">NAND &lt;tar&gt; and &lt;sel&gt; and output to &lt;slc&gt;</t>
  </si>
  <si>
    <t xml:space="preserve">XOR</t>
  </si>
  <si>
    <t xml:space="preserve">XOR &lt;tar&gt; and &lt;sel&gt;, and output to &lt;slc&gt;</t>
  </si>
  <si>
    <t xml:space="preserve">WIM</t>
  </si>
  <si>
    <t xml:space="preserve">Writes &lt;sel&gt; at address &lt;tar&gt;</t>
  </si>
  <si>
    <t xml:space="preserve">RIM</t>
  </si>
  <si>
    <t xml:space="preserve">Reads from address &lt;tar&gt; writes it to &lt;slc&gt;</t>
  </si>
  <si>
    <t xml:space="preserve">SAR</t>
  </si>
  <si>
    <t xml:space="preserve">Sets &lt;slc&gt; to &lt;sel&gt; </t>
  </si>
  <si>
    <t xml:space="preserve">SET, WRT, LDR</t>
  </si>
  <si>
    <t xml:space="preserve">JSR</t>
  </si>
  <si>
    <t xml:space="preserve">Jumps to a subroutine at &lt;tar&gt;; Pushes to stack</t>
  </si>
  <si>
    <t xml:space="preserve">JMP</t>
  </si>
  <si>
    <t xml:space="preserve">RET</t>
  </si>
  <si>
    <t xml:space="preserve">Returns from a subroutine; Pops the stack and jumps to read value </t>
  </si>
  <si>
    <t xml:space="preserve">HLT</t>
  </si>
  <si>
    <t xml:space="preserve">Halt until the next interrupt</t>
  </si>
  <si>
    <t xml:space="preserve">STP</t>
  </si>
  <si>
    <t xml:space="preserve">CMP</t>
  </si>
  <si>
    <t xml:space="preserve">SBB but only CR output</t>
  </si>
  <si>
    <t xml:space="preserve">DIF</t>
  </si>
  <si>
    <t xml:space="preserve">SHL</t>
  </si>
  <si>
    <t xml:space="preserve">Shifts &lt;tar&gt; left &lt;sel&gt; times; uses &lt;slc&gt;</t>
  </si>
  <si>
    <t xml:space="preserve">ROL</t>
  </si>
  <si>
    <r>
      <rPr>
        <sz val="11"/>
        <color rgb="FF000000"/>
        <rFont val="Arial"/>
        <family val="0"/>
        <charset val="1"/>
      </rPr>
      <t xml:space="preserve">Rotates &lt;tar&gt; left  &lt;sel&gt; times</t>
    </r>
    <r>
      <rPr>
        <sz val="11"/>
        <color theme="1"/>
        <rFont val="Arial"/>
        <family val="0"/>
        <charset val="1"/>
      </rPr>
      <t xml:space="preserve">; uses &lt;slc&gt;</t>
    </r>
  </si>
  <si>
    <t xml:space="preserve">SHR</t>
  </si>
  <si>
    <r>
      <rPr>
        <sz val="11"/>
        <color rgb="FF000000"/>
        <rFont val="Arial"/>
        <family val="0"/>
        <charset val="1"/>
      </rPr>
      <t xml:space="preserve">shifts &lt;tar&gt; right  &lt;sel&gt; times</t>
    </r>
    <r>
      <rPr>
        <sz val="11"/>
        <color theme="1"/>
        <rFont val="Arial"/>
        <family val="0"/>
        <charset val="1"/>
      </rPr>
      <t xml:space="preserve">; uses &lt;slc&gt;</t>
    </r>
  </si>
  <si>
    <t xml:space="preserve">ROR</t>
  </si>
  <si>
    <r>
      <rPr>
        <sz val="11"/>
        <color rgb="FF000000"/>
        <rFont val="Arial"/>
        <family val="0"/>
        <charset val="1"/>
      </rPr>
      <t xml:space="preserve">Rotates &lt;tar&gt; right  &lt;sel&gt; times</t>
    </r>
    <r>
      <rPr>
        <sz val="11"/>
        <color theme="1"/>
        <rFont val="Arial"/>
        <family val="0"/>
        <charset val="1"/>
      </rPr>
      <t xml:space="preserve">; uses &lt;slc&gt;</t>
    </r>
  </si>
  <si>
    <t xml:space="preserve">i. HEX</t>
  </si>
  <si>
    <t xml:space="preserve">ITEM NAME</t>
  </si>
  <si>
    <t xml:space="preserve">ITEM DESCRIPTION</t>
  </si>
  <si>
    <t xml:space="preserve">I. BITS</t>
  </si>
  <si>
    <t xml:space="preserve">R/W?</t>
  </si>
  <si>
    <t xml:space="preserve">Alias(es)</t>
  </si>
  <si>
    <t xml:space="preserve">R1</t>
  </si>
  <si>
    <t xml:space="preserve">Register 1</t>
  </si>
  <si>
    <t xml:space="preserve">Read, Write</t>
  </si>
  <si>
    <t xml:space="preserve">R2</t>
  </si>
  <si>
    <t xml:space="preserve">Register 2</t>
  </si>
  <si>
    <t xml:space="preserve">R3</t>
  </si>
  <si>
    <t xml:space="preserve">Register 3</t>
  </si>
  <si>
    <t xml:space="preserve">R4</t>
  </si>
  <si>
    <t xml:space="preserve">Register 4</t>
  </si>
  <si>
    <t xml:space="preserve">CR</t>
  </si>
  <si>
    <t xml:space="preserve">Carry Register</t>
  </si>
  <si>
    <t xml:space="preserve">BR</t>
  </si>
  <si>
    <t xml:space="preserve">Branch Register</t>
  </si>
  <si>
    <t xml:space="preserve">GA</t>
  </si>
  <si>
    <t xml:space="preserve">Graphics Accelerator</t>
  </si>
  <si>
    <t xml:space="preserve">P1</t>
  </si>
  <si>
    <t xml:space="preserve">Peripheral 1</t>
  </si>
  <si>
    <t xml:space="preserve">Unknown</t>
  </si>
  <si>
    <t xml:space="preserve">P2</t>
  </si>
  <si>
    <t xml:space="preserve">Peripheral 2</t>
  </si>
  <si>
    <t xml:space="preserve">P3</t>
  </si>
  <si>
    <t xml:space="preserve">Peripheral 3</t>
  </si>
  <si>
    <t xml:space="preserve">P4</t>
  </si>
  <si>
    <t xml:space="preserve">Peripheral 4</t>
  </si>
  <si>
    <t xml:space="preserve">SS</t>
  </si>
  <si>
    <t xml:space="preserve">Stack size</t>
  </si>
  <si>
    <t xml:space="preserve">Read</t>
  </si>
  <si>
    <t xml:space="preserve">PC</t>
  </si>
  <si>
    <t xml:space="preserve">Program counter</t>
  </si>
  <si>
    <t xml:space="preserve">IMM</t>
  </si>
  <si>
    <t xml:space="preserve">Immediate Value</t>
  </si>
  <si>
    <t xml:space="preserve">Read, N/A</t>
  </si>
  <si>
    <t xml:space="preserve">VD</t>
  </si>
  <si>
    <t xml:space="preserve">VOID</t>
  </si>
  <si>
    <t xml:space="preserve">N/A</t>
  </si>
  <si>
    <t xml:space="preserve">Write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</si>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</sst>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43434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3434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O" displayName="IO" ref="A1:E40" headerRowCount="1" totalsRowCount="0" totalsRowShown="0">
  <tableColumns count="5">
    <tableColumn id="1" name="i. HEX"/>
    <tableColumn id="2" name="ITEM NAME"/>
    <tableColumn id="3" name="ITEM DESCRIPTION"/>
    <tableColumn id="4" name="I. BITS"/>
    <tableColumn id="5" name="R/W?"/>
  </tableColumns>
</table>
</file>

<file path=xl/tables/table2.xml><?xml version="1.0" encoding="utf-8"?>
<table xmlns="http://schemas.openxmlformats.org/spreadsheetml/2006/main" id="2" name="Operations" displayName="Operations" ref="A1:C40" headerRowCount="1" totalsRowCount="0" totalsRowShown="0">
  <tableColumns count="3">
    <tableColumn id="1" name="HEX"/>
    <tableColumn id="2" name="NAM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28" activeCellId="0" sqref="D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1" width="13.35"/>
    <col collapsed="false" customWidth="true" hidden="false" outlineLevel="0" max="3" min="3" style="1" width="70.12"/>
    <col collapsed="false" customWidth="true" hidden="false" outlineLevel="0" max="4" min="4" style="1" width="20.03"/>
    <col collapsed="false" customWidth="true" hidden="false" outlineLevel="0" max="5" min="5" style="1" width="24.34"/>
    <col collapsed="false" customWidth="true" hidden="false" outlineLevel="0" max="6" min="6" style="1" width="20.7"/>
    <col collapsed="false" customWidth="true" hidden="false" outlineLevel="0" max="8" min="8" style="1" width="8.88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customFormat="false" ht="22.5" hidden="false" customHeight="true" outlineLevel="0" collapsed="false">
      <c r="A2" s="4" t="str">
        <f aca="false">DEC2HEX(ROW(A2) - 2)</f>
        <v>0</v>
      </c>
      <c r="B2" s="5" t="s">
        <v>5</v>
      </c>
      <c r="C2" s="5" t="s">
        <v>6</v>
      </c>
      <c r="D2" s="3"/>
      <c r="E2" s="1" t="s">
        <v>7</v>
      </c>
    </row>
    <row r="3" customFormat="false" ht="22.5" hidden="false" customHeight="true" outlineLevel="0" collapsed="false">
      <c r="A3" s="4" t="str">
        <f aca="false">DEC2HEX(ROW(A3) - 2)</f>
        <v>1</v>
      </c>
      <c r="B3" s="5" t="s">
        <v>8</v>
      </c>
      <c r="C3" s="5" t="s">
        <v>9</v>
      </c>
      <c r="D3" s="3"/>
    </row>
    <row r="4" customFormat="false" ht="22.5" hidden="false" customHeight="true" outlineLevel="0" collapsed="false">
      <c r="A4" s="4" t="str">
        <f aca="false">DEC2HEX(ROW(A4) - 2)</f>
        <v>2</v>
      </c>
      <c r="B4" s="5" t="s">
        <v>10</v>
      </c>
      <c r="C4" s="5" t="s">
        <v>11</v>
      </c>
      <c r="D4" s="3"/>
    </row>
    <row r="5" customFormat="false" ht="22.5" hidden="false" customHeight="true" outlineLevel="0" collapsed="false">
      <c r="A5" s="4" t="str">
        <f aca="false">DEC2HEX(ROW(A5) - 2)</f>
        <v>3</v>
      </c>
      <c r="B5" s="5" t="s">
        <v>12</v>
      </c>
      <c r="C5" s="5" t="s">
        <v>13</v>
      </c>
      <c r="D5" s="3"/>
    </row>
    <row r="6" customFormat="false" ht="22.5" hidden="false" customHeight="true" outlineLevel="0" collapsed="false">
      <c r="A6" s="4" t="str">
        <f aca="false">DEC2HEX(ROW(A6) - 2)</f>
        <v>4</v>
      </c>
      <c r="B6" s="5" t="s">
        <v>14</v>
      </c>
      <c r="C6" s="5" t="s">
        <v>15</v>
      </c>
      <c r="D6" s="3"/>
    </row>
    <row r="7" customFormat="false" ht="22.5" hidden="false" customHeight="true" outlineLevel="0" collapsed="false">
      <c r="A7" s="4" t="str">
        <f aca="false">DEC2HEX(ROW(A7) - 2)</f>
        <v>5</v>
      </c>
      <c r="B7" s="5" t="s">
        <v>16</v>
      </c>
      <c r="C7" s="5" t="s">
        <v>17</v>
      </c>
      <c r="D7" s="3"/>
    </row>
    <row r="8" customFormat="false" ht="22.5" hidden="false" customHeight="true" outlineLevel="0" collapsed="false">
      <c r="A8" s="4" t="str">
        <f aca="false">DEC2HEX(ROW(A8) - 2)</f>
        <v>6</v>
      </c>
      <c r="B8" s="5" t="s">
        <v>18</v>
      </c>
      <c r="C8" s="5" t="s">
        <v>19</v>
      </c>
      <c r="D8" s="3" t="s">
        <v>20</v>
      </c>
    </row>
    <row r="9" customFormat="false" ht="22.5" hidden="false" customHeight="true" outlineLevel="0" collapsed="false">
      <c r="A9" s="4" t="str">
        <f aca="false">DEC2HEX(ROW(A9) - 2)</f>
        <v>7</v>
      </c>
      <c r="B9" s="5" t="s">
        <v>21</v>
      </c>
      <c r="C9" s="5" t="s">
        <v>22</v>
      </c>
      <c r="D9" s="3"/>
    </row>
    <row r="10" customFormat="false" ht="22.5" hidden="false" customHeight="true" outlineLevel="0" collapsed="false">
      <c r="A10" s="4" t="str">
        <f aca="false">DEC2HEX(ROW(A10) - 2)</f>
        <v>8</v>
      </c>
      <c r="B10" s="5" t="s">
        <v>23</v>
      </c>
      <c r="C10" s="5" t="s">
        <v>24</v>
      </c>
      <c r="D10" s="3"/>
    </row>
    <row r="11" customFormat="false" ht="22.5" hidden="false" customHeight="true" outlineLevel="0" collapsed="false">
      <c r="A11" s="4" t="str">
        <f aca="false">DEC2HEX(ROW(A11) - 2)</f>
        <v>9</v>
      </c>
      <c r="B11" s="5" t="s">
        <v>25</v>
      </c>
      <c r="C11" s="5" t="s">
        <v>26</v>
      </c>
      <c r="D11" s="3"/>
    </row>
    <row r="12" customFormat="false" ht="22.5" hidden="false" customHeight="true" outlineLevel="0" collapsed="false">
      <c r="A12" s="4" t="str">
        <f aca="false">DEC2HEX(ROW(A12) - 2)</f>
        <v>A</v>
      </c>
      <c r="B12" s="5" t="s">
        <v>27</v>
      </c>
      <c r="C12" s="5" t="s">
        <v>28</v>
      </c>
      <c r="D12" s="3"/>
    </row>
    <row r="13" customFormat="false" ht="22.5" hidden="false" customHeight="true" outlineLevel="0" collapsed="false">
      <c r="A13" s="4" t="str">
        <f aca="false">DEC2HEX(ROW(A13) - 2)</f>
        <v>B</v>
      </c>
      <c r="B13" s="5" t="s">
        <v>29</v>
      </c>
      <c r="C13" s="5" t="s">
        <v>30</v>
      </c>
      <c r="D13" s="3"/>
    </row>
    <row r="14" customFormat="false" ht="22.5" hidden="false" customHeight="true" outlineLevel="0" collapsed="false">
      <c r="A14" s="4" t="str">
        <f aca="false">DEC2HEX(ROW(A14) - 2)</f>
        <v>C</v>
      </c>
      <c r="B14" s="5" t="s">
        <v>31</v>
      </c>
      <c r="C14" s="5" t="s">
        <v>32</v>
      </c>
      <c r="D14" s="3"/>
    </row>
    <row r="15" customFormat="false" ht="22.5" hidden="false" customHeight="true" outlineLevel="0" collapsed="false">
      <c r="A15" s="4" t="str">
        <f aca="false">DEC2HEX(ROW(A15) - 2)</f>
        <v>D</v>
      </c>
      <c r="B15" s="5" t="s">
        <v>33</v>
      </c>
      <c r="C15" s="5" t="s">
        <v>34</v>
      </c>
      <c r="D15" s="3"/>
    </row>
    <row r="16" customFormat="false" ht="22.5" hidden="false" customHeight="true" outlineLevel="0" collapsed="false">
      <c r="A16" s="4" t="str">
        <f aca="false">DEC2HEX(ROW(A16) - 2)</f>
        <v>E</v>
      </c>
      <c r="B16" s="5" t="s">
        <v>35</v>
      </c>
      <c r="C16" s="5" t="s">
        <v>36</v>
      </c>
      <c r="D16" s="3"/>
    </row>
    <row r="17" customFormat="false" ht="22.5" hidden="false" customHeight="true" outlineLevel="0" collapsed="false">
      <c r="A17" s="4" t="str">
        <f aca="false">DEC2HEX(ROW(A17) - 2)</f>
        <v>F</v>
      </c>
      <c r="B17" s="5" t="s">
        <v>37</v>
      </c>
      <c r="C17" s="5" t="s">
        <v>38</v>
      </c>
      <c r="D17" s="3"/>
    </row>
    <row r="18" customFormat="false" ht="22.5" hidden="false" customHeight="true" outlineLevel="0" collapsed="false">
      <c r="A18" s="4" t="str">
        <f aca="false">DEC2HEX(ROW(A18) - 2)</f>
        <v>10</v>
      </c>
      <c r="B18" s="5" t="s">
        <v>39</v>
      </c>
      <c r="C18" s="5" t="s">
        <v>40</v>
      </c>
      <c r="D18" s="3"/>
    </row>
    <row r="19" customFormat="false" ht="22.5" hidden="false" customHeight="true" outlineLevel="0" collapsed="false">
      <c r="A19" s="4" t="str">
        <f aca="false">DEC2HEX(ROW(A19) - 2)</f>
        <v>11</v>
      </c>
      <c r="B19" s="5" t="s">
        <v>41</v>
      </c>
      <c r="C19" s="5" t="s">
        <v>42</v>
      </c>
      <c r="D19" s="3"/>
    </row>
    <row r="20" customFormat="false" ht="22.5" hidden="false" customHeight="true" outlineLevel="0" collapsed="false">
      <c r="A20" s="4" t="str">
        <f aca="false">DEC2HEX(ROW(A20) - 2)</f>
        <v>12</v>
      </c>
      <c r="B20" s="5" t="s">
        <v>43</v>
      </c>
      <c r="C20" s="5" t="s">
        <v>44</v>
      </c>
      <c r="D20" s="3"/>
    </row>
    <row r="21" customFormat="false" ht="22.5" hidden="false" customHeight="true" outlineLevel="0" collapsed="false">
      <c r="A21" s="4" t="str">
        <f aca="false">DEC2HEX(ROW(A21) - 2)</f>
        <v>13</v>
      </c>
      <c r="B21" s="5" t="s">
        <v>45</v>
      </c>
      <c r="C21" s="5" t="s">
        <v>46</v>
      </c>
      <c r="D21" s="3" t="s">
        <v>47</v>
      </c>
    </row>
    <row r="22" customFormat="false" ht="22.5" hidden="false" customHeight="true" outlineLevel="0" collapsed="false">
      <c r="A22" s="4" t="str">
        <f aca="false">DEC2HEX(ROW(A22) - 2)</f>
        <v>14</v>
      </c>
      <c r="B22" s="5" t="s">
        <v>48</v>
      </c>
      <c r="C22" s="5" t="s">
        <v>49</v>
      </c>
      <c r="D22" s="3" t="s">
        <v>50</v>
      </c>
    </row>
    <row r="23" customFormat="false" ht="22.5" hidden="false" customHeight="true" outlineLevel="0" collapsed="false">
      <c r="A23" s="4" t="str">
        <f aca="false">DEC2HEX(ROW(A23) - 2)</f>
        <v>15</v>
      </c>
      <c r="B23" s="5" t="s">
        <v>51</v>
      </c>
      <c r="C23" s="5" t="s">
        <v>52</v>
      </c>
      <c r="D23" s="3"/>
    </row>
    <row r="24" customFormat="false" ht="22.5" hidden="false" customHeight="true" outlineLevel="0" collapsed="false">
      <c r="A24" s="4" t="str">
        <f aca="false">DEC2HEX(ROW(A24) - 2)</f>
        <v>16</v>
      </c>
      <c r="B24" s="5" t="s">
        <v>53</v>
      </c>
      <c r="C24" s="5" t="s">
        <v>54</v>
      </c>
      <c r="D24" s="3" t="s">
        <v>55</v>
      </c>
    </row>
    <row r="25" customFormat="false" ht="22.5" hidden="false" customHeight="true" outlineLevel="0" collapsed="false">
      <c r="A25" s="4" t="str">
        <f aca="false">DEC2HEX(ROW(A25) - 2)</f>
        <v>17</v>
      </c>
      <c r="B25" s="5" t="s">
        <v>56</v>
      </c>
      <c r="C25" s="5" t="s">
        <v>57</v>
      </c>
      <c r="D25" s="3" t="s">
        <v>58</v>
      </c>
    </row>
    <row r="26" customFormat="false" ht="22.5" hidden="false" customHeight="true" outlineLevel="0" collapsed="false">
      <c r="A26" s="4" t="str">
        <f aca="false">DEC2HEX(ROW(A26) - 2)</f>
        <v>18</v>
      </c>
      <c r="B26" s="5" t="s">
        <v>59</v>
      </c>
      <c r="C26" s="5" t="s">
        <v>60</v>
      </c>
      <c r="D26" s="3"/>
    </row>
    <row r="27" customFormat="false" ht="22.5" hidden="false" customHeight="true" outlineLevel="0" collapsed="false">
      <c r="A27" s="4" t="str">
        <f aca="false">DEC2HEX(ROW(A27) - 2)</f>
        <v>19</v>
      </c>
      <c r="B27" s="5" t="s">
        <v>61</v>
      </c>
      <c r="C27" s="3" t="s">
        <v>62</v>
      </c>
      <c r="D27" s="3"/>
    </row>
    <row r="28" customFormat="false" ht="22.5" hidden="false" customHeight="true" outlineLevel="0" collapsed="false">
      <c r="A28" s="4" t="str">
        <f aca="false">DEC2HEX(ROW(A28) - 2)</f>
        <v>1A</v>
      </c>
      <c r="B28" s="5" t="s">
        <v>63</v>
      </c>
      <c r="C28" s="3" t="s">
        <v>64</v>
      </c>
      <c r="D28" s="3"/>
    </row>
    <row r="29" customFormat="false" ht="22.5" hidden="false" customHeight="true" outlineLevel="0" collapsed="false">
      <c r="A29" s="4" t="str">
        <f aca="false">DEC2HEX(ROW(A29) - 2)</f>
        <v>1B</v>
      </c>
      <c r="B29" s="5" t="s">
        <v>65</v>
      </c>
      <c r="C29" s="3" t="s">
        <v>66</v>
      </c>
      <c r="D29" s="3"/>
    </row>
    <row r="30" customFormat="false" ht="22.5" hidden="false" customHeight="true" outlineLevel="0" collapsed="false">
      <c r="A30" s="4"/>
      <c r="B30" s="5"/>
      <c r="C30" s="5"/>
    </row>
    <row r="31" customFormat="false" ht="22.5" hidden="false" customHeight="true" outlineLevel="0" collapsed="false">
      <c r="A31" s="4"/>
      <c r="B31" s="5"/>
      <c r="C31" s="5"/>
    </row>
    <row r="32" customFormat="false" ht="22.5" hidden="false" customHeight="true" outlineLevel="0" collapsed="false">
      <c r="A32" s="4"/>
      <c r="B32" s="5"/>
      <c r="C32" s="5"/>
    </row>
    <row r="33" customFormat="false" ht="22.5" hidden="false" customHeight="true" outlineLevel="0" collapsed="false">
      <c r="A33" s="4"/>
      <c r="B33" s="5"/>
      <c r="C33" s="5"/>
    </row>
    <row r="34" customFormat="false" ht="22.5" hidden="false" customHeight="true" outlineLevel="0" collapsed="false">
      <c r="A34" s="4"/>
      <c r="B34" s="5"/>
      <c r="C34" s="5"/>
    </row>
    <row r="35" customFormat="false" ht="22.5" hidden="false" customHeight="true" outlineLevel="0" collapsed="false">
      <c r="A35" s="4"/>
      <c r="B35" s="5"/>
      <c r="C35" s="5"/>
    </row>
    <row r="36" customFormat="false" ht="22.5" hidden="false" customHeight="true" outlineLevel="0" collapsed="false">
      <c r="A36" s="4"/>
      <c r="B36" s="5"/>
      <c r="C36" s="5"/>
    </row>
    <row r="37" customFormat="false" ht="22.5" hidden="false" customHeight="true" outlineLevel="0" collapsed="false">
      <c r="A37" s="4"/>
      <c r="B37" s="5"/>
      <c r="C37" s="5"/>
    </row>
    <row r="38" customFormat="false" ht="22.5" hidden="false" customHeight="true" outlineLevel="0" collapsed="false">
      <c r="A38" s="4"/>
      <c r="B38" s="5"/>
      <c r="C38" s="5"/>
    </row>
    <row r="39" customFormat="false" ht="22.5" hidden="false" customHeight="true" outlineLevel="0" collapsed="false">
      <c r="A39" s="4"/>
      <c r="B39" s="5"/>
      <c r="C39" s="5"/>
    </row>
    <row r="40" customFormat="false" ht="22.5" hidden="false" customHeight="true" outlineLevel="0" collapsed="false">
      <c r="A40" s="4"/>
      <c r="B40" s="5"/>
      <c r="C4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13.22"/>
    <col collapsed="false" customWidth="true" hidden="false" outlineLevel="0" max="3" min="3" style="1" width="26.5"/>
    <col collapsed="false" customWidth="true" hidden="false" outlineLevel="0" max="4" min="4" style="1" width="12.38"/>
    <col collapsed="false" customWidth="true" hidden="false" outlineLevel="0" max="5" min="5" style="1" width="15.44"/>
  </cols>
  <sheetData>
    <row r="1" customFormat="false" ht="22.5" hidden="false" customHeight="true" outlineLevel="0" collapsed="false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6" t="s">
        <v>72</v>
      </c>
    </row>
    <row r="2" customFormat="false" ht="22.5" hidden="false" customHeight="true" outlineLevel="0" collapsed="false">
      <c r="A2" s="5" t="str">
        <f aca="false">DEC2HEX(ROW(Operations!A2) - 2)</f>
        <v>0</v>
      </c>
      <c r="B2" s="5" t="s">
        <v>73</v>
      </c>
      <c r="C2" s="5" t="s">
        <v>74</v>
      </c>
      <c r="D2" s="5" t="n">
        <v>16</v>
      </c>
      <c r="E2" s="5" t="s">
        <v>75</v>
      </c>
      <c r="F2" s="6"/>
    </row>
    <row r="3" customFormat="false" ht="22.5" hidden="false" customHeight="true" outlineLevel="0" collapsed="false">
      <c r="A3" s="5" t="str">
        <f aca="false">DEC2HEX(ROW(Operations!A3) - 2)</f>
        <v>1</v>
      </c>
      <c r="B3" s="5" t="s">
        <v>76</v>
      </c>
      <c r="C3" s="5" t="s">
        <v>77</v>
      </c>
      <c r="D3" s="5" t="n">
        <v>16</v>
      </c>
      <c r="E3" s="5" t="s">
        <v>75</v>
      </c>
      <c r="F3" s="6"/>
    </row>
    <row r="4" customFormat="false" ht="22.5" hidden="false" customHeight="true" outlineLevel="0" collapsed="false">
      <c r="A4" s="5" t="str">
        <f aca="false">DEC2HEX(ROW(Operations!A4) - 2)</f>
        <v>2</v>
      </c>
      <c r="B4" s="5" t="s">
        <v>78</v>
      </c>
      <c r="C4" s="5" t="s">
        <v>79</v>
      </c>
      <c r="D4" s="5" t="n">
        <v>16</v>
      </c>
      <c r="E4" s="5" t="s">
        <v>75</v>
      </c>
      <c r="F4" s="6"/>
    </row>
    <row r="5" customFormat="false" ht="22.5" hidden="false" customHeight="true" outlineLevel="0" collapsed="false">
      <c r="A5" s="5" t="str">
        <f aca="false">DEC2HEX(ROW(Operations!A5) - 2)</f>
        <v>3</v>
      </c>
      <c r="B5" s="5" t="s">
        <v>80</v>
      </c>
      <c r="C5" s="5" t="s">
        <v>81</v>
      </c>
      <c r="D5" s="5" t="n">
        <v>16</v>
      </c>
      <c r="E5" s="5" t="s">
        <v>75</v>
      </c>
      <c r="F5" s="6"/>
    </row>
    <row r="6" customFormat="false" ht="22.5" hidden="false" customHeight="true" outlineLevel="0" collapsed="false">
      <c r="A6" s="5" t="str">
        <f aca="false">DEC2HEX(ROW(Operations!A6) - 2)</f>
        <v>4</v>
      </c>
      <c r="B6" s="5" t="s">
        <v>82</v>
      </c>
      <c r="C6" s="5" t="s">
        <v>83</v>
      </c>
      <c r="D6" s="5" t="n">
        <v>16</v>
      </c>
      <c r="E6" s="5" t="s">
        <v>75</v>
      </c>
      <c r="F6" s="6"/>
    </row>
    <row r="7" customFormat="false" ht="22.5" hidden="false" customHeight="true" outlineLevel="0" collapsed="false">
      <c r="A7" s="5" t="str">
        <f aca="false">DEC2HEX(ROW(Operations!A7) - 2)</f>
        <v>5</v>
      </c>
      <c r="B7" s="5" t="s">
        <v>84</v>
      </c>
      <c r="C7" s="5" t="s">
        <v>85</v>
      </c>
      <c r="D7" s="5" t="n">
        <v>1</v>
      </c>
      <c r="E7" s="5" t="s">
        <v>75</v>
      </c>
      <c r="F7" s="6"/>
    </row>
    <row r="8" customFormat="false" ht="22.5" hidden="false" customHeight="true" outlineLevel="0" collapsed="false">
      <c r="A8" s="5" t="str">
        <f aca="false">DEC2HEX(ROW(Operations!A8) - 2)</f>
        <v>6</v>
      </c>
      <c r="B8" s="5" t="s">
        <v>86</v>
      </c>
      <c r="C8" s="5" t="s">
        <v>87</v>
      </c>
      <c r="D8" s="5" t="n">
        <v>16</v>
      </c>
      <c r="E8" s="5" t="s">
        <v>75</v>
      </c>
      <c r="F8" s="6"/>
    </row>
    <row r="9" customFormat="false" ht="22.5" hidden="false" customHeight="true" outlineLevel="0" collapsed="false">
      <c r="A9" s="5" t="str">
        <f aca="false">DEC2HEX(ROW(Operations!A9) - 2)</f>
        <v>7</v>
      </c>
      <c r="B9" s="5" t="s">
        <v>88</v>
      </c>
      <c r="C9" s="5" t="s">
        <v>89</v>
      </c>
      <c r="D9" s="5" t="n">
        <v>16</v>
      </c>
      <c r="E9" s="5" t="s">
        <v>90</v>
      </c>
      <c r="F9" s="6"/>
    </row>
    <row r="10" customFormat="false" ht="22.5" hidden="false" customHeight="true" outlineLevel="0" collapsed="false">
      <c r="A10" s="5" t="str">
        <f aca="false">DEC2HEX(ROW(Operations!A10) - 2)</f>
        <v>8</v>
      </c>
      <c r="B10" s="5" t="s">
        <v>91</v>
      </c>
      <c r="C10" s="3" t="s">
        <v>92</v>
      </c>
      <c r="D10" s="5" t="n">
        <v>16</v>
      </c>
      <c r="E10" s="5" t="s">
        <v>90</v>
      </c>
      <c r="F10" s="6"/>
    </row>
    <row r="11" customFormat="false" ht="22.5" hidden="false" customHeight="true" outlineLevel="0" collapsed="false">
      <c r="A11" s="5" t="str">
        <f aca="false">DEC2HEX(ROW(Operations!A11) - 2)</f>
        <v>9</v>
      </c>
      <c r="B11" s="5" t="s">
        <v>93</v>
      </c>
      <c r="C11" s="3" t="s">
        <v>94</v>
      </c>
      <c r="D11" s="5" t="n">
        <v>16</v>
      </c>
      <c r="E11" s="5" t="s">
        <v>90</v>
      </c>
      <c r="F11" s="6"/>
    </row>
    <row r="12" customFormat="false" ht="22.5" hidden="false" customHeight="true" outlineLevel="0" collapsed="false">
      <c r="A12" s="5" t="str">
        <f aca="false">DEC2HEX(ROW(Operations!A12) - 2)</f>
        <v>A</v>
      </c>
      <c r="B12" s="5" t="s">
        <v>95</v>
      </c>
      <c r="C12" s="5" t="s">
        <v>96</v>
      </c>
      <c r="D12" s="5" t="n">
        <v>16</v>
      </c>
      <c r="E12" s="5" t="s">
        <v>90</v>
      </c>
      <c r="F12" s="6"/>
    </row>
    <row r="13" customFormat="false" ht="22.5" hidden="false" customHeight="true" outlineLevel="0" collapsed="false">
      <c r="A13" s="5" t="str">
        <f aca="false">DEC2HEX(ROW(Operations!A13) - 2)</f>
        <v>B</v>
      </c>
      <c r="B13" s="5" t="s">
        <v>97</v>
      </c>
      <c r="C13" s="5" t="s">
        <v>98</v>
      </c>
      <c r="D13" s="5" t="n">
        <v>16</v>
      </c>
      <c r="E13" s="5" t="s">
        <v>99</v>
      </c>
      <c r="F13" s="6"/>
    </row>
    <row r="14" customFormat="false" ht="22.5" hidden="false" customHeight="true" outlineLevel="0" collapsed="false">
      <c r="A14" s="5" t="str">
        <f aca="false">DEC2HEX(ROW(Operations!A14) - 2)</f>
        <v>C</v>
      </c>
      <c r="B14" s="7"/>
      <c r="C14" s="7"/>
      <c r="D14" s="7"/>
      <c r="E14" s="8"/>
      <c r="F14" s="6"/>
    </row>
    <row r="15" customFormat="false" ht="22.5" hidden="false" customHeight="true" outlineLevel="0" collapsed="false">
      <c r="A15" s="5" t="str">
        <f aca="false">DEC2HEX(ROW(Operations!A15) - 2)</f>
        <v>D</v>
      </c>
      <c r="B15" s="7"/>
      <c r="C15" s="7"/>
      <c r="D15" s="7"/>
      <c r="E15" s="8"/>
      <c r="F15" s="6"/>
    </row>
    <row r="16" customFormat="false" ht="22.5" hidden="false" customHeight="true" outlineLevel="0" collapsed="false">
      <c r="A16" s="5" t="str">
        <f aca="false">DEC2HEX(ROW(Operations!A16) - 2)</f>
        <v>E</v>
      </c>
      <c r="B16" s="5" t="s">
        <v>100</v>
      </c>
      <c r="C16" s="5" t="s">
        <v>101</v>
      </c>
      <c r="D16" s="5" t="n">
        <v>16</v>
      </c>
      <c r="E16" s="5" t="s">
        <v>99</v>
      </c>
      <c r="F16" s="6"/>
    </row>
    <row r="17" customFormat="false" ht="22.5" hidden="false" customHeight="true" outlineLevel="0" collapsed="false">
      <c r="A17" s="5" t="str">
        <f aca="false">DEC2HEX(ROW(Operations!A17) - 2)</f>
        <v>F</v>
      </c>
      <c r="B17" s="7"/>
      <c r="C17" s="7"/>
      <c r="D17" s="7"/>
      <c r="E17" s="7"/>
      <c r="F17" s="6"/>
    </row>
    <row r="18" customFormat="false" ht="22.5" hidden="false" customHeight="true" outlineLevel="0" collapsed="false">
      <c r="A18" s="5" t="str">
        <f aca="false">DEC2HEX(ROW(Operations!A18) - 2)</f>
        <v>10</v>
      </c>
      <c r="B18" s="7"/>
      <c r="C18" s="7"/>
      <c r="D18" s="7"/>
      <c r="E18" s="7"/>
      <c r="F18" s="6"/>
    </row>
    <row r="19" customFormat="false" ht="22.5" hidden="false" customHeight="true" outlineLevel="0" collapsed="false">
      <c r="A19" s="5" t="str">
        <f aca="false">DEC2HEX(ROW(Operations!A19) - 2)</f>
        <v>11</v>
      </c>
      <c r="B19" s="7"/>
      <c r="C19" s="7"/>
      <c r="D19" s="7"/>
      <c r="E19" s="7"/>
      <c r="F19" s="6"/>
    </row>
    <row r="20" customFormat="false" ht="22.5" hidden="false" customHeight="true" outlineLevel="0" collapsed="false">
      <c r="A20" s="5" t="str">
        <f aca="false">DEC2HEX(ROW(Operations!A20) - 2)</f>
        <v>12</v>
      </c>
      <c r="B20" s="5" t="s">
        <v>102</v>
      </c>
      <c r="C20" s="5" t="s">
        <v>103</v>
      </c>
      <c r="D20" s="5" t="n">
        <v>16</v>
      </c>
      <c r="E20" s="5" t="s">
        <v>104</v>
      </c>
      <c r="F20" s="6"/>
    </row>
    <row r="21" customFormat="false" ht="22.5" hidden="false" customHeight="true" outlineLevel="0" collapsed="false">
      <c r="A21" s="5" t="str">
        <f aca="false">DEC2HEX(ROW(Operations!A21) - 2)</f>
        <v>13</v>
      </c>
      <c r="B21" s="5" t="s">
        <v>105</v>
      </c>
      <c r="C21" s="5" t="s">
        <v>106</v>
      </c>
      <c r="D21" s="9" t="s">
        <v>107</v>
      </c>
      <c r="E21" s="5" t="s">
        <v>108</v>
      </c>
      <c r="F21" s="6" t="s">
        <v>106</v>
      </c>
    </row>
    <row r="22" customFormat="false" ht="22.5" hidden="false" customHeight="true" outlineLevel="0" collapsed="false">
      <c r="A22" s="5"/>
      <c r="B22" s="5"/>
      <c r="C22" s="5"/>
      <c r="D22" s="5"/>
      <c r="E22" s="5"/>
    </row>
    <row r="23" customFormat="false" ht="22.5" hidden="false" customHeight="true" outlineLevel="0" collapsed="false">
      <c r="A23" s="5"/>
      <c r="B23" s="5"/>
      <c r="C23" s="5"/>
      <c r="D23" s="5" t="s">
        <v>109</v>
      </c>
      <c r="E23" s="5"/>
    </row>
    <row r="24" customFormat="false" ht="22.5" hidden="false" customHeight="true" outlineLevel="0" collapsed="false">
      <c r="A24" s="5"/>
      <c r="B24" s="5"/>
      <c r="C24" s="5"/>
      <c r="D24" s="5"/>
      <c r="E24" s="5"/>
    </row>
    <row r="25" customFormat="false" ht="22.5" hidden="false" customHeight="true" outlineLevel="0" collapsed="false">
      <c r="A25" s="5"/>
      <c r="B25" s="5"/>
      <c r="C25" s="5"/>
      <c r="D25" s="5"/>
      <c r="E25" s="5"/>
    </row>
    <row r="26" customFormat="false" ht="22.5" hidden="false" customHeight="true" outlineLevel="0" collapsed="false">
      <c r="A26" s="5"/>
      <c r="B26" s="5"/>
      <c r="C26" s="5"/>
      <c r="D26" s="5"/>
      <c r="E26" s="5"/>
    </row>
    <row r="27" customFormat="false" ht="22.5" hidden="false" customHeight="true" outlineLevel="0" collapsed="false">
      <c r="A27" s="5"/>
      <c r="B27" s="5"/>
      <c r="C27" s="5"/>
      <c r="D27" s="5"/>
      <c r="E27" s="5"/>
    </row>
    <row r="28" customFormat="false" ht="22.5" hidden="false" customHeight="true" outlineLevel="0" collapsed="false">
      <c r="A28" s="5"/>
      <c r="B28" s="5"/>
      <c r="C28" s="5"/>
      <c r="D28" s="5"/>
      <c r="E28" s="5"/>
    </row>
    <row r="29" customFormat="false" ht="22.5" hidden="false" customHeight="true" outlineLevel="0" collapsed="false">
      <c r="A29" s="5"/>
      <c r="B29" s="5"/>
      <c r="C29" s="5"/>
      <c r="D29" s="5"/>
      <c r="E29" s="5"/>
    </row>
    <row r="30" customFormat="false" ht="22.5" hidden="false" customHeight="true" outlineLevel="0" collapsed="false">
      <c r="A30" s="5"/>
      <c r="B30" s="5"/>
      <c r="C30" s="5"/>
      <c r="D30" s="5"/>
      <c r="E30" s="5"/>
    </row>
    <row r="31" customFormat="false" ht="22.5" hidden="false" customHeight="true" outlineLevel="0" collapsed="false">
      <c r="A31" s="5"/>
      <c r="B31" s="5"/>
      <c r="C31" s="5"/>
      <c r="D31" s="5"/>
      <c r="E31" s="5"/>
    </row>
    <row r="32" customFormat="false" ht="22.5" hidden="false" customHeight="true" outlineLevel="0" collapsed="false">
      <c r="A32" s="5"/>
      <c r="B32" s="5"/>
      <c r="C32" s="5"/>
      <c r="D32" s="5"/>
      <c r="E32" s="5"/>
    </row>
    <row r="33" customFormat="false" ht="22.5" hidden="false" customHeight="true" outlineLevel="0" collapsed="false">
      <c r="A33" s="5"/>
      <c r="B33" s="5"/>
      <c r="C33" s="5"/>
      <c r="D33" s="5"/>
      <c r="E33" s="5"/>
    </row>
    <row r="34" customFormat="false" ht="22.5" hidden="false" customHeight="true" outlineLevel="0" collapsed="false">
      <c r="A34" s="5"/>
      <c r="B34" s="5"/>
      <c r="C34" s="5"/>
      <c r="D34" s="5"/>
      <c r="E34" s="5"/>
    </row>
    <row r="35" customFormat="false" ht="22.5" hidden="false" customHeight="true" outlineLevel="0" collapsed="false">
      <c r="A35" s="5"/>
      <c r="B35" s="5"/>
      <c r="C35" s="5"/>
      <c r="D35" s="5"/>
      <c r="E35" s="5"/>
    </row>
    <row r="36" customFormat="false" ht="22.5" hidden="false" customHeight="true" outlineLevel="0" collapsed="false">
      <c r="A36" s="5"/>
      <c r="B36" s="5"/>
      <c r="C36" s="5"/>
      <c r="D36" s="5"/>
      <c r="E36" s="5"/>
    </row>
    <row r="37" customFormat="false" ht="22.5" hidden="false" customHeight="true" outlineLevel="0" collapsed="false">
      <c r="A37" s="5"/>
      <c r="B37" s="5"/>
      <c r="C37" s="5"/>
      <c r="D37" s="5"/>
      <c r="E37" s="5"/>
    </row>
    <row r="38" customFormat="false" ht="22.5" hidden="false" customHeight="true" outlineLevel="0" collapsed="false">
      <c r="A38" s="5"/>
      <c r="B38" s="5"/>
      <c r="C38" s="5"/>
      <c r="D38" s="5"/>
      <c r="E38" s="5"/>
    </row>
    <row r="39" customFormat="false" ht="22.5" hidden="false" customHeight="true" outlineLevel="0" collapsed="false">
      <c r="A39" s="5"/>
      <c r="B39" s="5"/>
      <c r="C39" s="5"/>
      <c r="D39" s="5"/>
      <c r="E39" s="5"/>
    </row>
    <row r="40" customFormat="false" ht="22.5" hidden="false" customHeight="true" outlineLevel="0" collapsed="false">
      <c r="A40" s="5"/>
      <c r="B40" s="5"/>
      <c r="C40" s="5"/>
      <c r="D40" s="5"/>
      <c r="E40" s="5"/>
    </row>
  </sheetData>
  <dataValidations count="2">
    <dataValidation allowBlank="true" errorStyle="stop" operator="equal" showDropDown="false" showErrorMessage="false" showInputMessage="false" sqref="E2:E19" type="list">
      <formula1>"Read,Write,None,Unknown,N/A"</formula1>
      <formula2>0</formula2>
    </dataValidation>
    <dataValidation allowBlank="true" errorStyle="stop" operator="equal" showDropDown="false" showErrorMessage="false" showInputMessage="false" sqref="E21:E40" type="list">
      <formula1>"Read,Write,None,Unknown,N/A"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2026-08-09T11:36:38Z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